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E:\HDD Files\Documents\Dropbox\2016\algos\assignments\"/>
    </mc:Choice>
  </mc:AlternateContent>
  <bookViews>
    <workbookView xWindow="0" yWindow="0" windowWidth="28800" windowHeight="12435"/>
  </bookViews>
  <sheets>
    <sheet name="Sheet1" sheetId="1" r:id="rId1"/>
  </sheets>
  <definedNames>
    <definedName name="n">Sheet1!$M$3</definedName>
    <definedName name="solver_adj" localSheetId="0" hidden="1">Sheet1!$M$3,Sheet1!$P$3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Sheet1!$O$10</definedName>
    <definedName name="solver_lhs2" localSheetId="0" hidden="1">Sheet1!$P$3</definedName>
    <definedName name="solver_lhs3" localSheetId="0" hidden="1">Sheet1!$M$3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Sheet1!$G$4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D16" i="1"/>
  <c r="C16" i="1"/>
  <c r="F14" i="1"/>
  <c r="C14" i="1"/>
  <c r="D12" i="1"/>
  <c r="F12" i="1" s="1"/>
  <c r="C12" i="1"/>
  <c r="F8" i="1"/>
  <c r="F10" i="1"/>
  <c r="C10" i="1"/>
  <c r="C8" i="1"/>
  <c r="E6" i="1"/>
  <c r="D6" i="1"/>
  <c r="C6" i="1"/>
  <c r="E4" i="1"/>
  <c r="D4" i="1"/>
  <c r="C4" i="1"/>
  <c r="J10" i="1" l="1"/>
  <c r="F4" i="1"/>
  <c r="J4" i="1" s="1"/>
  <c r="J16" i="1"/>
  <c r="M10" i="1"/>
  <c r="J8" i="1"/>
  <c r="O10" i="1"/>
  <c r="P10" i="1"/>
  <c r="F6" i="1"/>
  <c r="G6" i="1" s="1"/>
  <c r="G16" i="1"/>
  <c r="J12" i="1"/>
  <c r="G10" i="1"/>
  <c r="H10" i="1"/>
  <c r="H16" i="1"/>
  <c r="I4" i="1"/>
  <c r="I10" i="1"/>
  <c r="I16" i="1"/>
  <c r="G8" i="1"/>
  <c r="G12" i="1"/>
  <c r="J14" i="1"/>
  <c r="H8" i="1"/>
  <c r="H12" i="1"/>
  <c r="I8" i="1"/>
  <c r="I12" i="1"/>
  <c r="H4" i="1"/>
  <c r="G14" i="1"/>
  <c r="G4" i="1"/>
  <c r="I14" i="1"/>
  <c r="H14" i="1"/>
  <c r="N10" i="1" l="1"/>
  <c r="H6" i="1"/>
  <c r="I6" i="1"/>
  <c r="J6" i="1"/>
</calcChain>
</file>

<file path=xl/sharedStrings.xml><?xml version="1.0" encoding="utf-8"?>
<sst xmlns="http://schemas.openxmlformats.org/spreadsheetml/2006/main" count="70" uniqueCount="42">
  <si>
    <t>F(n)</t>
  </si>
  <si>
    <t>g(n)</t>
  </si>
  <si>
    <t>Value</t>
  </si>
  <si>
    <t>Function</t>
  </si>
  <si>
    <t>n^2</t>
  </si>
  <si>
    <t>n-2log(n)</t>
  </si>
  <si>
    <t>n + cosn</t>
  </si>
  <si>
    <t>(n-2logn)(n+cosn)</t>
  </si>
  <si>
    <t>Test Theta(n)</t>
  </si>
  <si>
    <t>LHS</t>
  </si>
  <si>
    <t>RHS</t>
  </si>
  <si>
    <t>Test O(n)</t>
  </si>
  <si>
    <t>Test Sigma(n)</t>
  </si>
  <si>
    <t>a</t>
  </si>
  <si>
    <t>b</t>
  </si>
  <si>
    <t>c</t>
  </si>
  <si>
    <t>d</t>
  </si>
  <si>
    <t>e</t>
  </si>
  <si>
    <t>f</t>
  </si>
  <si>
    <t>g</t>
  </si>
  <si>
    <t>(logn)^2</t>
  </si>
  <si>
    <t>log(n^(logn))</t>
  </si>
  <si>
    <t>2logn</t>
  </si>
  <si>
    <t>log(n^(logn)) + 2logn</t>
  </si>
  <si>
    <t>n^100</t>
  </si>
  <si>
    <t>2^(n/100)</t>
  </si>
  <si>
    <t>2^(n^(1/100))</t>
  </si>
  <si>
    <t>sqrt(n)</t>
  </si>
  <si>
    <t>sqrt(log(n))</t>
  </si>
  <si>
    <t>2^sqrt(log(n))</t>
  </si>
  <si>
    <t>n^(1.001)</t>
  </si>
  <si>
    <t>nlogn</t>
  </si>
  <si>
    <t>n^((1+sin(pi*n/2))/2)</t>
  </si>
  <si>
    <t>((1+sin(pi*n/2))/2)</t>
  </si>
  <si>
    <t>n</t>
  </si>
  <si>
    <t>c2(rhs)</t>
  </si>
  <si>
    <t>c1(lhs)</t>
  </si>
  <si>
    <t>theta</t>
  </si>
  <si>
    <t>O</t>
  </si>
  <si>
    <t>sigma</t>
  </si>
  <si>
    <t>(f(n)/g(n))</t>
  </si>
  <si>
    <t>O(n), Sigma(n)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</si>
</sst>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60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6"/>
  <sheetViews>
    <sheetView tabSelected="1" topLeftCell="E1" zoomScale="175" zoomScaleNormal="175" workbookViewId="0">
      <selection activeCell="M11" sqref="M11"/>
    </sheetView>
  </sheetViews>
  <sheetFormatPr defaultRowHeight="15" x14ac:dyDescent="0.25"/>
  <cols>
    <col min="4" max="4" width="17.7109375" bestFit="1" customWidth="1"/>
    <col min="6" max="6" width="18.5703125" customWidth="1"/>
  </cols>
  <sheetData>
    <row r="1" spans="1:17" x14ac:dyDescent="0.25">
      <c r="G1" t="s">
        <v>8</v>
      </c>
      <c r="N1" t="s">
        <v>37</v>
      </c>
      <c r="P1" t="s">
        <v>38</v>
      </c>
      <c r="Q1" t="s">
        <v>39</v>
      </c>
    </row>
    <row r="2" spans="1:17" x14ac:dyDescent="0.25">
      <c r="C2" t="s">
        <v>0</v>
      </c>
      <c r="F2" t="s">
        <v>1</v>
      </c>
      <c r="G2" t="s">
        <v>9</v>
      </c>
      <c r="H2" t="s">
        <v>10</v>
      </c>
      <c r="I2" t="s">
        <v>11</v>
      </c>
      <c r="J2" t="s">
        <v>12</v>
      </c>
      <c r="M2" t="s">
        <v>34</v>
      </c>
      <c r="N2" t="s">
        <v>36</v>
      </c>
      <c r="O2" t="s">
        <v>35</v>
      </c>
      <c r="P2" t="s">
        <v>15</v>
      </c>
      <c r="Q2" t="s">
        <v>15</v>
      </c>
    </row>
    <row r="3" spans="1:17" x14ac:dyDescent="0.25">
      <c r="A3" t="s">
        <v>13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40</v>
      </c>
      <c r="H3" t="s">
        <v>40</v>
      </c>
      <c r="I3" t="s">
        <v>40</v>
      </c>
      <c r="J3" t="s">
        <v>40</v>
      </c>
      <c r="M3">
        <v>100</v>
      </c>
      <c r="N3">
        <v>1</v>
      </c>
      <c r="O3">
        <v>1</v>
      </c>
      <c r="P3">
        <v>5</v>
      </c>
      <c r="Q3">
        <v>1</v>
      </c>
    </row>
    <row r="4" spans="1:17" x14ac:dyDescent="0.25">
      <c r="B4" t="s">
        <v>2</v>
      </c>
      <c r="C4">
        <f>(n)^2</f>
        <v>10000</v>
      </c>
      <c r="D4">
        <f>(n)-2*(LOG(n, 2))</f>
        <v>86.712287620450553</v>
      </c>
      <c r="E4">
        <f>n+COS(n)</f>
        <v>100.86231887228769</v>
      </c>
      <c r="F4">
        <f>D4*E4</f>
        <v>8746.0024041194083</v>
      </c>
      <c r="G4">
        <f>$C4/$F4</f>
        <v>1.143379516485149</v>
      </c>
      <c r="H4">
        <f>$C4/$F4</f>
        <v>1.143379516485149</v>
      </c>
      <c r="I4">
        <f>$C4/$F4</f>
        <v>1.143379516485149</v>
      </c>
      <c r="J4">
        <f>$C4/$F4</f>
        <v>1.143379516485149</v>
      </c>
    </row>
    <row r="5" spans="1:17" x14ac:dyDescent="0.25">
      <c r="A5" t="s">
        <v>14</v>
      </c>
      <c r="B5" t="s">
        <v>3</v>
      </c>
      <c r="C5" t="s">
        <v>20</v>
      </c>
      <c r="D5" t="s">
        <v>21</v>
      </c>
      <c r="E5" t="s">
        <v>22</v>
      </c>
      <c r="F5" t="s">
        <v>23</v>
      </c>
    </row>
    <row r="6" spans="1:17" x14ac:dyDescent="0.25">
      <c r="B6" t="s">
        <v>2</v>
      </c>
      <c r="C6">
        <f>(LOG(n, 2))^2</f>
        <v>44.140825070407928</v>
      </c>
      <c r="D6">
        <f>LOG((n^(LOG(n,2))),2)</f>
        <v>44.140825070407935</v>
      </c>
      <c r="E6">
        <f>2*LOG(n,2)</f>
        <v>13.287712379549451</v>
      </c>
      <c r="F6">
        <f>D6+E6</f>
        <v>57.428537449957389</v>
      </c>
      <c r="G6">
        <f>$C6/$F6</f>
        <v>0.76862178684024074</v>
      </c>
      <c r="H6">
        <f>$C6/$F6</f>
        <v>0.76862178684024074</v>
      </c>
      <c r="I6">
        <f>$C6/$F6</f>
        <v>0.76862178684024074</v>
      </c>
      <c r="J6">
        <f>$C6/$F6</f>
        <v>0.76862178684024074</v>
      </c>
    </row>
    <row r="7" spans="1:17" x14ac:dyDescent="0.25">
      <c r="A7" t="s">
        <v>15</v>
      </c>
      <c r="B7" t="s">
        <v>3</v>
      </c>
      <c r="C7" t="s">
        <v>24</v>
      </c>
      <c r="F7" t="s">
        <v>25</v>
      </c>
      <c r="M7" t="s">
        <v>8</v>
      </c>
    </row>
    <row r="8" spans="1:17" x14ac:dyDescent="0.25">
      <c r="B8" t="s">
        <v>2</v>
      </c>
      <c r="C8">
        <f>(n)^100</f>
        <v>1.0000000000000005E+200</v>
      </c>
      <c r="F8">
        <f>2^(n/100)</f>
        <v>2</v>
      </c>
      <c r="G8">
        <f>$C8/$F8</f>
        <v>5.0000000000000024E+199</v>
      </c>
      <c r="H8">
        <f>$C8/$F8</f>
        <v>5.0000000000000024E+199</v>
      </c>
      <c r="I8">
        <f>$C8/$F8</f>
        <v>5.0000000000000024E+199</v>
      </c>
      <c r="J8">
        <f>$C8/$F8</f>
        <v>5.0000000000000024E+199</v>
      </c>
      <c r="M8" t="s">
        <v>9</v>
      </c>
      <c r="N8" t="s">
        <v>10</v>
      </c>
      <c r="O8" t="s">
        <v>11</v>
      </c>
      <c r="P8" t="s">
        <v>12</v>
      </c>
    </row>
    <row r="9" spans="1:17" x14ac:dyDescent="0.25">
      <c r="A9" t="s">
        <v>16</v>
      </c>
      <c r="B9" t="s">
        <v>3</v>
      </c>
      <c r="C9" t="s">
        <v>24</v>
      </c>
      <c r="F9" t="s">
        <v>26</v>
      </c>
      <c r="M9" t="s">
        <v>40</v>
      </c>
      <c r="N9" t="s">
        <v>40</v>
      </c>
      <c r="O9" t="s">
        <v>40</v>
      </c>
      <c r="P9" t="s">
        <v>40</v>
      </c>
    </row>
    <row r="10" spans="1:17" x14ac:dyDescent="0.25">
      <c r="B10" t="s">
        <v>2</v>
      </c>
      <c r="C10">
        <f>(n)^100</f>
        <v>1.0000000000000005E+200</v>
      </c>
      <c r="F10">
        <f>2^(n^(1/100))</f>
        <v>2.0664128901727676</v>
      </c>
      <c r="G10">
        <f>$C10/$F10</f>
        <v>4.8393039201202084E+199</v>
      </c>
      <c r="H10">
        <f>$C10/$F10</f>
        <v>4.8393039201202084E+199</v>
      </c>
      <c r="I10">
        <f>$C10/$F10</f>
        <v>4.8393039201202084E+199</v>
      </c>
      <c r="J10">
        <f>$C10/$F10</f>
        <v>4.8393039201202084E+199</v>
      </c>
      <c r="M10">
        <f>$C4/$F4-N3</f>
        <v>0.14337951648514902</v>
      </c>
      <c r="N10">
        <f>$C4/$F4-O3</f>
        <v>0.14337951648514902</v>
      </c>
      <c r="O10">
        <f>$C4/$F4-P3</f>
        <v>-3.8566204835148508</v>
      </c>
      <c r="P10">
        <f>$C4/$F4-Q3</f>
        <v>0.14337951648514902</v>
      </c>
      <c r="Q10" t="s">
        <v>41</v>
      </c>
    </row>
    <row r="11" spans="1:17" x14ac:dyDescent="0.25">
      <c r="A11" t="s">
        <v>17</v>
      </c>
      <c r="B11" t="s">
        <v>3</v>
      </c>
      <c r="C11" t="s">
        <v>27</v>
      </c>
      <c r="D11" t="s">
        <v>28</v>
      </c>
      <c r="F11" t="s">
        <v>29</v>
      </c>
    </row>
    <row r="12" spans="1:17" x14ac:dyDescent="0.25">
      <c r="B12" t="s">
        <v>2</v>
      </c>
      <c r="C12">
        <f>SQRT(n)</f>
        <v>10</v>
      </c>
      <c r="D12">
        <f>SQRT(LOG(n,2))</f>
        <v>2.5775678826705466</v>
      </c>
      <c r="F12">
        <f>2^(D12)</f>
        <v>5.9693253276529479</v>
      </c>
      <c r="G12">
        <f>$C12/$F12</f>
        <v>1.6752311946669951</v>
      </c>
      <c r="H12">
        <f>$C12/$F12</f>
        <v>1.6752311946669951</v>
      </c>
      <c r="I12">
        <f>$C12/$F12</f>
        <v>1.6752311946669951</v>
      </c>
      <c r="J12">
        <f>$C12/$F12</f>
        <v>1.6752311946669951</v>
      </c>
    </row>
    <row r="13" spans="1:17" x14ac:dyDescent="0.25">
      <c r="A13" t="s">
        <v>18</v>
      </c>
      <c r="B13" t="s">
        <v>3</v>
      </c>
      <c r="C13" t="s">
        <v>30</v>
      </c>
      <c r="F13" t="s">
        <v>31</v>
      </c>
    </row>
    <row r="14" spans="1:17" x14ac:dyDescent="0.25">
      <c r="B14" t="s">
        <v>2</v>
      </c>
      <c r="C14">
        <f>(n)^(1.001)</f>
        <v>100.46157902783952</v>
      </c>
      <c r="F14">
        <f>n*(LOG(n,2))</f>
        <v>664.38561897747252</v>
      </c>
      <c r="G14">
        <f>$C14/$F14</f>
        <v>0.15120974349573615</v>
      </c>
      <c r="H14">
        <f>$C14/$F14</f>
        <v>0.15120974349573615</v>
      </c>
      <c r="I14">
        <f>$C14/$F14</f>
        <v>0.15120974349573615</v>
      </c>
      <c r="J14">
        <f>$C14/$F14</f>
        <v>0.15120974349573615</v>
      </c>
    </row>
    <row r="15" spans="1:17" x14ac:dyDescent="0.25">
      <c r="A15" t="s">
        <v>19</v>
      </c>
      <c r="B15" t="s">
        <v>3</v>
      </c>
      <c r="C15" t="s">
        <v>32</v>
      </c>
      <c r="D15" t="s">
        <v>33</v>
      </c>
      <c r="F15" t="s">
        <v>27</v>
      </c>
    </row>
    <row r="16" spans="1:17" x14ac:dyDescent="0.25">
      <c r="B16" t="s">
        <v>2</v>
      </c>
      <c r="C16">
        <f>n^((1+SIN(PI()*n/2))/2)</f>
        <v>10.000000000000025</v>
      </c>
      <c r="D16">
        <f>((1+SIN(PI()*n/2))/2)</f>
        <v>0.50000000000000044</v>
      </c>
      <c r="F16">
        <f>SQRT(n)</f>
        <v>10</v>
      </c>
      <c r="G16">
        <f>$C16/$F16</f>
        <v>1.0000000000000024</v>
      </c>
      <c r="H16">
        <f>$C16/$F16</f>
        <v>1.0000000000000024</v>
      </c>
      <c r="I16">
        <f>$C16/$F16</f>
        <v>1.0000000000000024</v>
      </c>
      <c r="J16">
        <f>$C16/$F16</f>
        <v>1.0000000000000024</v>
      </c>
    </row>
  </sheetData>
  <conditionalFormatting sqref="G4">
    <cfRule type="cellIs" dxfId="59" priority="131" operator="lessThan">
      <formula>$N$3</formula>
    </cfRule>
    <cfRule type="cellIs" dxfId="58" priority="132" operator="greaterThanOrEqual">
      <formula>$N$3</formula>
    </cfRule>
  </conditionalFormatting>
  <conditionalFormatting sqref="G6">
    <cfRule type="cellIs" dxfId="57" priority="103" operator="greaterThan">
      <formula>$N$3</formula>
    </cfRule>
    <cfRule type="cellIs" dxfId="56" priority="104" operator="lessThanOrEqual">
      <formula>$N$3</formula>
    </cfRule>
  </conditionalFormatting>
  <conditionalFormatting sqref="G14">
    <cfRule type="cellIs" dxfId="55" priority="95" operator="greaterThan">
      <formula>$N$3</formula>
    </cfRule>
    <cfRule type="cellIs" dxfId="54" priority="96" operator="lessThanOrEqual">
      <formula>$N$3</formula>
    </cfRule>
  </conditionalFormatting>
  <conditionalFormatting sqref="H6">
    <cfRule type="cellIs" dxfId="53" priority="83" operator="lessThan">
      <formula>$Q$3</formula>
    </cfRule>
    <cfRule type="cellIs" dxfId="52" priority="84" operator="greaterThanOrEqual">
      <formula>$Q$3</formula>
    </cfRule>
  </conditionalFormatting>
  <conditionalFormatting sqref="H14">
    <cfRule type="cellIs" dxfId="51" priority="75" operator="lessThan">
      <formula>$Q$3</formula>
    </cfRule>
    <cfRule type="cellIs" dxfId="50" priority="76" operator="greaterThanOrEqual">
      <formula>$Q$3</formula>
    </cfRule>
  </conditionalFormatting>
  <conditionalFormatting sqref="I6">
    <cfRule type="cellIs" dxfId="49" priority="71" operator="lessThan">
      <formula>$Q$3</formula>
    </cfRule>
    <cfRule type="cellIs" dxfId="48" priority="72" operator="greaterThanOrEqual">
      <formula>$Q$3</formula>
    </cfRule>
  </conditionalFormatting>
  <conditionalFormatting sqref="I14">
    <cfRule type="cellIs" dxfId="47" priority="63" operator="lessThan">
      <formula>$Q$3</formula>
    </cfRule>
    <cfRule type="cellIs" dxfId="46" priority="64" operator="greaterThanOrEqual">
      <formula>$Q$3</formula>
    </cfRule>
  </conditionalFormatting>
  <conditionalFormatting sqref="J6">
    <cfRule type="cellIs" dxfId="45" priority="59" operator="lessThan">
      <formula>$Q$3</formula>
    </cfRule>
    <cfRule type="cellIs" dxfId="44" priority="60" operator="greaterThanOrEqual">
      <formula>$Q$3</formula>
    </cfRule>
  </conditionalFormatting>
  <conditionalFormatting sqref="J14">
    <cfRule type="cellIs" dxfId="43" priority="51" operator="lessThan">
      <formula>$Q$3</formula>
    </cfRule>
    <cfRule type="cellIs" dxfId="42" priority="52" operator="greaterThanOrEqual">
      <formula>$Q$3</formula>
    </cfRule>
  </conditionalFormatting>
  <conditionalFormatting sqref="I4">
    <cfRule type="cellIs" dxfId="41" priority="129" operator="greaterThan">
      <formula>$P$3</formula>
    </cfRule>
    <cfRule type="cellIs" dxfId="40" priority="130" operator="lessThanOrEqual">
      <formula>$P$3</formula>
    </cfRule>
  </conditionalFormatting>
  <conditionalFormatting sqref="H4">
    <cfRule type="cellIs" dxfId="39" priority="48" operator="lessThanOrEqual">
      <formula>$O$3</formula>
    </cfRule>
    <cfRule type="cellIs" dxfId="38" priority="47" operator="greaterThan">
      <formula>$O$3</formula>
    </cfRule>
  </conditionalFormatting>
  <conditionalFormatting sqref="J4">
    <cfRule type="cellIs" dxfId="37" priority="43" operator="lessThan">
      <formula>$Q$3</formula>
    </cfRule>
    <cfRule type="cellIs" dxfId="36" priority="44" operator="greaterThanOrEqual">
      <formula>$Q$3</formula>
    </cfRule>
  </conditionalFormatting>
  <conditionalFormatting sqref="G8">
    <cfRule type="cellIs" dxfId="35" priority="41" operator="lessThan">
      <formula>$N$3</formula>
    </cfRule>
    <cfRule type="cellIs" dxfId="34" priority="42" operator="greaterThanOrEqual">
      <formula>$N$3</formula>
    </cfRule>
  </conditionalFormatting>
  <conditionalFormatting sqref="I8">
    <cfRule type="cellIs" dxfId="33" priority="39" operator="greaterThan">
      <formula>$P$3</formula>
    </cfRule>
    <cfRule type="cellIs" dxfId="32" priority="40" operator="lessThanOrEqual">
      <formula>$P$3</formula>
    </cfRule>
  </conditionalFormatting>
  <conditionalFormatting sqref="H8">
    <cfRule type="cellIs" dxfId="31" priority="37" operator="greaterThan">
      <formula>$O$3</formula>
    </cfRule>
    <cfRule type="cellIs" dxfId="30" priority="38" operator="lessThanOrEqual">
      <formula>$O$3</formula>
    </cfRule>
  </conditionalFormatting>
  <conditionalFormatting sqref="J8">
    <cfRule type="cellIs" dxfId="29" priority="35" operator="lessThan">
      <formula>$Q$3</formula>
    </cfRule>
    <cfRule type="cellIs" dxfId="28" priority="36" operator="greaterThanOrEqual">
      <formula>$Q$3</formula>
    </cfRule>
  </conditionalFormatting>
  <conditionalFormatting sqref="G10">
    <cfRule type="cellIs" dxfId="27" priority="33" operator="lessThan">
      <formula>$N$3</formula>
    </cfRule>
    <cfRule type="cellIs" dxfId="26" priority="34" operator="greaterThanOrEqual">
      <formula>$N$3</formula>
    </cfRule>
  </conditionalFormatting>
  <conditionalFormatting sqref="I10">
    <cfRule type="cellIs" dxfId="25" priority="31" operator="greaterThan">
      <formula>$P$3</formula>
    </cfRule>
    <cfRule type="cellIs" dxfId="24" priority="32" operator="lessThanOrEqual">
      <formula>$P$3</formula>
    </cfRule>
  </conditionalFormatting>
  <conditionalFormatting sqref="H10">
    <cfRule type="cellIs" dxfId="23" priority="29" operator="greaterThan">
      <formula>$O$3</formula>
    </cfRule>
    <cfRule type="cellIs" dxfId="22" priority="30" operator="lessThanOrEqual">
      <formula>$O$3</formula>
    </cfRule>
  </conditionalFormatting>
  <conditionalFormatting sqref="J10">
    <cfRule type="cellIs" dxfId="21" priority="27" operator="lessThan">
      <formula>$Q$3</formula>
    </cfRule>
    <cfRule type="cellIs" dxfId="20" priority="28" operator="greaterThanOrEqual">
      <formula>$Q$3</formula>
    </cfRule>
  </conditionalFormatting>
  <conditionalFormatting sqref="G12">
    <cfRule type="cellIs" dxfId="19" priority="25" operator="lessThan">
      <formula>$N$3</formula>
    </cfRule>
    <cfRule type="cellIs" dxfId="18" priority="26" operator="greaterThanOrEqual">
      <formula>$N$3</formula>
    </cfRule>
  </conditionalFormatting>
  <conditionalFormatting sqref="I12">
    <cfRule type="cellIs" dxfId="17" priority="23" operator="greaterThan">
      <formula>$P$3</formula>
    </cfRule>
    <cfRule type="cellIs" dxfId="16" priority="24" operator="lessThanOrEqual">
      <formula>$P$3</formula>
    </cfRule>
  </conditionalFormatting>
  <conditionalFormatting sqref="H12">
    <cfRule type="cellIs" dxfId="15" priority="21" operator="greaterThan">
      <formula>$O$3</formula>
    </cfRule>
    <cfRule type="cellIs" dxfId="14" priority="22" operator="lessThanOrEqual">
      <formula>$O$3</formula>
    </cfRule>
  </conditionalFormatting>
  <conditionalFormatting sqref="J12">
    <cfRule type="cellIs" dxfId="13" priority="19" operator="lessThan">
      <formula>$Q$3</formula>
    </cfRule>
    <cfRule type="cellIs" dxfId="12" priority="20" operator="greaterThanOrEqual">
      <formula>$Q$3</formula>
    </cfRule>
  </conditionalFormatting>
  <conditionalFormatting sqref="G16">
    <cfRule type="cellIs" dxfId="11" priority="17" operator="lessThan">
      <formula>$N$3</formula>
    </cfRule>
    <cfRule type="cellIs" dxfId="10" priority="18" operator="greaterThanOrEqual">
      <formula>$N$3</formula>
    </cfRule>
  </conditionalFormatting>
  <conditionalFormatting sqref="I16">
    <cfRule type="cellIs" dxfId="9" priority="15" operator="greaterThan">
      <formula>$P$3</formula>
    </cfRule>
    <cfRule type="cellIs" dxfId="8" priority="16" operator="lessThanOrEqual">
      <formula>$P$3</formula>
    </cfRule>
  </conditionalFormatting>
  <conditionalFormatting sqref="H16">
    <cfRule type="cellIs" dxfId="7" priority="13" operator="greaterThan">
      <formula>$O$3</formula>
    </cfRule>
    <cfRule type="cellIs" dxfId="6" priority="14" operator="lessThanOrEqual">
      <formula>$O$3</formula>
    </cfRule>
  </conditionalFormatting>
  <conditionalFormatting sqref="J16">
    <cfRule type="cellIs" dxfId="5" priority="11" operator="lessThan">
      <formula>$Q$3</formula>
    </cfRule>
    <cfRule type="cellIs" dxfId="4" priority="12" operator="greaterThanOrEqual">
      <formula>$Q$3</formula>
    </cfRule>
  </conditionalFormatting>
  <conditionalFormatting sqref="M10 P10">
    <cfRule type="cellIs" dxfId="3" priority="9" operator="lessThan">
      <formula>0</formula>
    </cfRule>
    <cfRule type="cellIs" dxfId="2" priority="10" operator="greaterThanOrEqual">
      <formula>0</formula>
    </cfRule>
  </conditionalFormatting>
  <conditionalFormatting sqref="N10 O10">
    <cfRule type="cellIs" dxfId="1" priority="2" operator="lessThanOrEqual">
      <formula>0</formula>
    </cfRule>
  </conditionalFormatting>
  <conditionalFormatting sqref="N10:O1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Nguyen</dc:creator>
  <cp:lastModifiedBy>Alex Nguyen</cp:lastModifiedBy>
  <dcterms:created xsi:type="dcterms:W3CDTF">2016-03-24T10:38:54Z</dcterms:created>
  <dcterms:modified xsi:type="dcterms:W3CDTF">2016-03-24T23:00:38Z</dcterms:modified>
</cp:coreProperties>
</file>